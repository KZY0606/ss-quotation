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2">
    <numFmt numFmtId="164" formatCode="0.00_ "/>
    <numFmt numFmtId="165" formatCode="0.0_ "/>
  </numFmts>
  <fonts count="13">
    <font>
      <name val="Calibri"/>
      <family val="2"/>
      <color theme="1"/>
      <sz val="11"/>
      <scheme val="minor"/>
    </font>
    <font>
      <name val="Calibri"/>
      <b val="1"/>
      <sz val="14"/>
    </font>
    <font>
      <name val="Calibri"/>
      <b val="1"/>
      <color rgb="FFFF0000"/>
      <sz val="14"/>
    </font>
    <font>
      <name val="Calibri"/>
      <sz val="14"/>
    </font>
    <font>
      <name val="宋体"/>
      <b val="1"/>
      <color rgb="FFFF0000"/>
      <sz val="14"/>
    </font>
    <font>
      <name val="黑体"/>
      <sz val="18"/>
    </font>
    <font>
      <name val="黑体"/>
      <color rgb="FFFF0000"/>
      <sz val="18"/>
    </font>
    <font>
      <name val="黑体"/>
      <b val="1"/>
      <sz val="16"/>
    </font>
    <font>
      <name val="黑体"/>
      <b val="1"/>
      <sz val="14"/>
    </font>
    <font>
      <name val="黑体"/>
      <sz val="16"/>
    </font>
    <font>
      <name val="宋体"/>
      <sz val="14"/>
    </font>
    <font>
      <name val="宋体"/>
      <sz val="16"/>
    </font>
    <font>
      <name val="Calibri"/>
      <sz val="16"/>
    </font>
  </fonts>
  <fills count="2">
    <fill>
      <patternFill/>
    </fill>
    <fill>
      <patternFill patternType="gray125"/>
    </fill>
  </fills>
  <borders count="24">
    <border>
      <left/>
      <right/>
      <top/>
      <bottom/>
      <diagonal/>
    </border>
    <border/>
    <border>
      <left style="thin"/>
      <right style="thin"/>
      <top style="thin"/>
      <bottom style="thin"/>
    </border>
    <border>
      <left style="thin"/>
      <top style="thin"/>
      <bottom style="thin"/>
    </border>
    <border>
      <top style="thin"/>
      <bottom style="thin"/>
    </border>
    <border>
      <right style="thin"/>
      <top style="thin"/>
      <bottom style="thin"/>
    </border>
    <border>
      <left style="thin"/>
      <top style="thin"/>
    </border>
    <border>
      <top style="thin"/>
    </border>
    <border>
      <right style="thin"/>
      <top style="thin"/>
    </border>
    <border>
      <left style="thin"/>
    </border>
    <border>
      <right style="thin"/>
    </border>
    <border>
      <left style="thin"/>
      <bottom style="thin"/>
    </border>
    <border>
      <bottom style="thin"/>
    </border>
    <border>
      <right style="thin"/>
      <bottom style="thin"/>
    </border>
    <border>
      <left style="thin"/>
      <right style="thin"/>
      <top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1">
    <xf numFmtId="0" fontId="0" fillId="0" borderId="0"/>
  </cellStyleXfs>
  <cellXfs count="40">
    <xf numFmtId="0" fontId="0" fillId="0" borderId="0" pivotButton="0" quotePrefix="0" xfId="0"/>
    <xf numFmtId="0" fontId="1" fillId="0" borderId="1" applyAlignment="1" pivotButton="0" quotePrefix="0" xfId="0">
      <alignment horizontal="left" vertical="center" wrapText="1"/>
    </xf>
    <xf numFmtId="0" fontId="1" fillId="0" borderId="1" applyAlignment="1" pivotButton="0" quotePrefix="0" xfId="0">
      <alignment horizontal="general" vertical="center" wrapText="1"/>
    </xf>
    <xf numFmtId="0" fontId="2" fillId="0" borderId="1" applyAlignment="1" pivotButton="0" quotePrefix="0" xfId="0">
      <alignment horizontal="right" vertical="center"/>
    </xf>
    <xf numFmtId="0" fontId="1" fillId="0" borderId="1" applyAlignment="1" pivotButton="0" quotePrefix="0" xfId="0">
      <alignment horizontal="left" vertical="top" wrapText="1"/>
    </xf>
    <xf numFmtId="0" fontId="3" fillId="0" borderId="1" applyAlignment="1" pivotButton="0" quotePrefix="0" xfId="0">
      <alignment horizontal="left" vertical="center" wrapText="1"/>
    </xf>
    <xf numFmtId="0" fontId="3" fillId="0" borderId="1" applyAlignment="1" pivotButton="0" quotePrefix="0" xfId="0">
      <alignment horizontal="left" vertical="top" wrapText="1"/>
    </xf>
    <xf numFmtId="0" fontId="4" fillId="0" borderId="1" applyAlignment="1" pivotButton="0" quotePrefix="0" xfId="0">
      <alignment horizontal="left" vertical="center" wrapText="1"/>
    </xf>
    <xf numFmtId="0" fontId="4" fillId="0" borderId="1" applyAlignment="1" pivotButton="0" quotePrefix="0" xfId="0">
      <alignment horizontal="general" vertical="center" wrapText="1"/>
    </xf>
    <xf numFmtId="0" fontId="1" fillId="0" borderId="1" applyAlignment="1" pivotButton="0" quotePrefix="0" xfId="0">
      <alignment horizontal="right" vertical="center"/>
    </xf>
    <xf numFmtId="0" fontId="3" fillId="0" borderId="1" applyAlignment="1" pivotButton="0" quotePrefix="0" xfId="0">
      <alignment horizontal="left" vertical="center"/>
    </xf>
    <xf numFmtId="0" fontId="3"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5" fillId="0" borderId="2" applyAlignment="1" pivotButton="0" quotePrefix="0" xfId="0">
      <alignment horizontal="center" vertical="center" wrapText="1"/>
    </xf>
    <xf numFmtId="164" fontId="5" fillId="0" borderId="2" applyAlignment="1" pivotButton="0" quotePrefix="0" xfId="0">
      <alignment horizontal="center" vertical="center" wrapText="1"/>
    </xf>
    <xf numFmtId="165" fontId="5" fillId="0" borderId="2" applyAlignment="1" pivotButton="0" quotePrefix="0" xfId="0">
      <alignment horizontal="center" vertical="center" wrapText="1"/>
    </xf>
    <xf numFmtId="0" fontId="5" fillId="0" borderId="1" applyAlignment="1" pivotButton="0" quotePrefix="0" xfId="0">
      <alignment horizontal="left" vertical="top" wrapText="1"/>
    </xf>
    <xf numFmtId="0" fontId="7" fillId="0" borderId="2" applyAlignment="1" pivotButton="0" quotePrefix="0" xfId="0">
      <alignment horizontal="center" vertical="center" wrapText="1"/>
    </xf>
    <xf numFmtId="0" fontId="0" fillId="0" borderId="17" pivotButton="0" quotePrefix="0" xfId="0"/>
    <xf numFmtId="0" fontId="0" fillId="0" borderId="18" pivotButton="0" quotePrefix="0" xfId="0"/>
    <xf numFmtId="164" fontId="7" fillId="0" borderId="2" applyAlignment="1" pivotButton="0" quotePrefix="0" xfId="0">
      <alignment horizontal="center" vertical="center" wrapText="1"/>
    </xf>
    <xf numFmtId="165" fontId="7" fillId="0" borderId="2" applyAlignment="1" pivotButton="0" quotePrefix="0" xfId="0">
      <alignment horizontal="center" vertical="center" wrapText="1"/>
    </xf>
    <xf numFmtId="0" fontId="8" fillId="0" borderId="1" applyAlignment="1" pivotButton="0" quotePrefix="0" xfId="0">
      <alignment horizontal="left" vertical="top" wrapText="1"/>
    </xf>
    <xf numFmtId="0" fontId="7"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0" fillId="0" borderId="16" pivotButton="0" quotePrefix="0" xfId="0"/>
    <xf numFmtId="0" fontId="9" fillId="0" borderId="2" applyAlignment="1" pivotButton="0" quotePrefix="0" xfId="0">
      <alignment horizontal="left" vertical="center" wrapText="1"/>
    </xf>
    <xf numFmtId="0" fontId="0" fillId="0" borderId="15"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23" pivotButton="0" quotePrefix="0" xfId="0"/>
    <xf numFmtId="0" fontId="0" fillId="0" borderId="22" pivotButton="0" quotePrefix="0" xfId="0"/>
    <xf numFmtId="0" fontId="5" fillId="0" borderId="2" applyAlignment="1" pivotButton="0" quotePrefix="0" xfId="0">
      <alignment horizontal="left" vertical="top" wrapText="1"/>
    </xf>
    <xf numFmtId="0" fontId="10" fillId="0" borderId="1" applyAlignment="1" pivotButton="0" quotePrefix="0" xfId="0">
      <alignment horizontal="left" vertical="top" wrapText="1"/>
    </xf>
    <xf numFmtId="0" fontId="3" fillId="0" borderId="1" applyAlignment="1" pivotButton="0" quotePrefix="0" xfId="0">
      <alignment horizontal="general" vertical="top" wrapText="1"/>
    </xf>
    <xf numFmtId="0" fontId="11" fillId="0" borderId="2" applyAlignment="1" pivotButton="0" quotePrefix="0" xfId="0">
      <alignment horizontal="left" vertical="center" wrapText="1"/>
    </xf>
    <xf numFmtId="0" fontId="12" fillId="0" borderId="2" applyAlignment="1" pivotButton="0" quotePrefix="0" xfId="0">
      <alignment horizontal="right" vertical="center"/>
    </xf>
    <xf numFmtId="0" fontId="12" fillId="0" borderId="2" applyAlignment="1" pivotButton="0" quotePrefix="0" xfId="0">
      <alignment horizontal="left" vertical="center"/>
    </xf>
    <xf numFmtId="0" fontId="3"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50"/>
  <sheetViews>
    <sheetView workbookViewId="0">
      <selection activeCell="A1" sqref="A1"/>
    </sheetView>
  </sheetViews>
  <sheetFormatPr baseColWidth="8" defaultRowHeight="15"/>
  <cols>
    <col width="10.0078125" customWidth="1" min="1" max="1"/>
    <col width="12.5" customWidth="1" min="2" max="2"/>
    <col width="21" customWidth="1" min="3" max="3"/>
    <col width="28" customWidth="1" min="4" max="4"/>
    <col width="12.390625" customWidth="1" min="5" max="5"/>
    <col width="18.296875" customWidth="1" min="6" max="6"/>
    <col width="11.72265625" customWidth="1" min="7" max="7"/>
    <col width="11.671875" customWidth="1" min="8" max="8"/>
    <col width="9.70703125" customWidth="1" min="9" max="9"/>
    <col width="8.19140625" customWidth="1" min="10" max="10"/>
    <col width="10.25" customWidth="1" min="11" max="11"/>
    <col width="13.921875" customWidth="1" min="12" max="12"/>
    <col width="13.28125" customWidth="1" min="13" max="13"/>
    <col width="13.28125" customWidth="1" min="14" max="14"/>
    <col width="15" customWidth="1" min="15" max="15"/>
    <col width="12" customWidth="1" min="16" max="16"/>
    <col width="7.5" customWidth="1" min="17" max="17"/>
    <col width="7.5" customWidth="1" min="18" max="18"/>
  </cols>
  <sheetData>
    <row r="1" ht="18.5" customHeight="1">
      <c r="A1" s="1" t="inlineStr">
        <is>
          <t>卖方（ Seller ）：香港梓燁不銹鋼有限公司（ HONG KONG ZIYE METAL MATERIALS CO., LIMITED ）</t>
        </is>
      </c>
      <c r="K1" s="2" t="n"/>
      <c r="L1" s="2" t="n"/>
      <c r="M1" s="2" t="n"/>
      <c r="N1" s="2" t="n"/>
      <c r="O1" s="2" t="n"/>
      <c r="P1" s="3" t="inlineStr">
        <is>
          <t>Contract number: ABC12341212123-12</t>
        </is>
      </c>
      <c r="Q1" s="4" t="n"/>
      <c r="R1" s="4" t="n"/>
    </row>
    <row r="2" ht="18.5" customHeight="1">
      <c r="A2" s="1" t="inlineStr">
        <is>
          <t>地址（ Address ）：  Room S068, 2/F, Capital Square, 61-65 Chatham Road South, Tsim Sha Tsui, Hong Kong</t>
        </is>
      </c>
      <c r="K2" s="2" t="n"/>
      <c r="L2" s="2" t="n"/>
      <c r="M2" s="2" t="n"/>
      <c r="N2" s="2" t="n"/>
      <c r="O2" s="2" t="n"/>
      <c r="P2" s="3" t="inlineStr">
        <is>
          <t>Order track number: Remarks, if any</t>
        </is>
      </c>
      <c r="Q2" s="4" t="n"/>
      <c r="R2" s="4" t="n"/>
    </row>
    <row r="3" ht="4" customHeight="1">
      <c r="A3" s="5" t="n"/>
      <c r="B3" s="5" t="n"/>
      <c r="Q3" s="6" t="n"/>
      <c r="R3" s="6" t="n"/>
    </row>
    <row r="4" ht="18.5" customHeight="1">
      <c r="A4" s="7" t="inlineStr">
        <is>
          <t>买方（Buyer）：</t>
        </is>
      </c>
      <c r="K4" s="8" t="n"/>
      <c r="L4" s="8" t="n"/>
      <c r="M4" s="8" t="n"/>
      <c r="N4" s="8" t="n"/>
      <c r="O4" s="8" t="n"/>
      <c r="P4" s="9" t="inlineStr">
        <is>
          <t>Date:27 AUG 2026</t>
        </is>
      </c>
      <c r="Q4" s="4" t="n"/>
      <c r="R4" s="4" t="n"/>
    </row>
    <row r="5" ht="6" customHeight="1">
      <c r="A5" s="5" t="n"/>
      <c r="B5" s="10" t="n"/>
      <c r="C5" s="5" t="n"/>
      <c r="D5" s="5" t="n"/>
      <c r="E5" s="11" t="n"/>
      <c r="F5" s="11" t="n"/>
      <c r="G5" s="11" t="n"/>
      <c r="H5" s="5" t="n"/>
      <c r="I5" s="5" t="n"/>
      <c r="J5" s="5" t="n"/>
      <c r="K5" s="5" t="n"/>
      <c r="L5" s="5" t="n"/>
      <c r="M5" s="5" t="n"/>
      <c r="N5" s="5" t="n"/>
      <c r="O5" s="5" t="n"/>
      <c r="P5" s="5" t="n"/>
      <c r="Q5" s="6" t="n"/>
      <c r="R5" s="6" t="n"/>
    </row>
    <row r="6" ht="18.5" customHeight="1">
      <c r="A6" s="1" t="inlineStr">
        <is>
          <t>卖方与买方同意根据以下条款成交：</t>
        </is>
      </c>
      <c r="Q6" s="4" t="n"/>
      <c r="R6" s="4" t="n"/>
    </row>
    <row r="7" ht="18.5" customHeight="1">
      <c r="A7" s="5" t="inlineStr">
        <is>
          <t>The buyer agrees to buy and the seller agrees to sell the following goods on the terms and conditions as stipulated below ：</t>
        </is>
      </c>
      <c r="Q7" s="6" t="n"/>
      <c r="R7" s="6" t="n"/>
    </row>
    <row r="8" ht="37" customHeight="1">
      <c r="A8" s="12" t="inlineStr">
        <is>
          <t>NO.
序号</t>
        </is>
      </c>
      <c r="B8" s="12" t="inlineStr">
        <is>
          <t>GRADE
钢种</t>
        </is>
      </c>
      <c r="C8" s="12" t="inlineStr">
        <is>
          <t>SURFACE
表面</t>
        </is>
      </c>
      <c r="D8" s="12" t="inlineStr">
        <is>
          <t>PAPER/FILM
衬纸/贴膜</t>
        </is>
      </c>
      <c r="E8" s="12" t="inlineStr">
        <is>
          <t>THK
厚度/MM</t>
        </is>
      </c>
      <c r="F8" s="12" t="inlineStr">
        <is>
          <t>THK TOL
厚度公差/MM</t>
        </is>
      </c>
      <c r="G8" s="12" t="inlineStr">
        <is>
          <t>WIDTH
宽度/MM</t>
        </is>
      </c>
      <c r="H8" s="12" t="inlineStr">
        <is>
          <t>LENGH
长度/MM</t>
        </is>
      </c>
      <c r="I8" s="12" t="inlineStr">
        <is>
          <t>Edge
边</t>
        </is>
      </c>
      <c r="J8" s="12" t="inlineStr">
        <is>
          <t>PCS
件数</t>
        </is>
      </c>
      <c r="K8" s="12" t="inlineStr">
        <is>
          <t>MT
重量</t>
        </is>
      </c>
      <c r="L8" s="12" t="inlineStr">
        <is>
          <t>UNIT FOB 
单价 (USD/T)</t>
        </is>
      </c>
      <c r="M8" s="12" t="inlineStr">
        <is>
          <t>TOTAL
合计(USD)</t>
        </is>
      </c>
      <c r="N8" s="12" t="inlineStr">
        <is>
          <t>PRINT
喷码</t>
        </is>
      </c>
      <c r="O8" s="12" t="inlineStr">
        <is>
          <t>PACKING
打包要求</t>
        </is>
      </c>
      <c r="P8" s="12" t="inlineStr">
        <is>
          <t>WEIGHT/PACK
单包重/MT</t>
        </is>
      </c>
      <c r="Q8" s="4" t="n"/>
      <c r="R8" s="4" t="n"/>
    </row>
    <row r="9" ht="35" customHeight="1">
      <c r="A9" s="13" t="n">
        <v>1</v>
      </c>
      <c r="B9" s="13" t="n">
        <v>304</v>
      </c>
      <c r="C9" s="13" t="inlineStr">
        <is>
          <t>要求高 - NO.4砂水镀黑钛</t>
        </is>
      </c>
      <c r="D9" s="13" t="inlineStr">
        <is>
          <t>底膜10C诺凡赛尔+面膜7C黑白膜</t>
        </is>
      </c>
      <c r="E9" s="14" t="n">
        <v>1.2</v>
      </c>
      <c r="F9" s="13" t="inlineStr">
        <is>
          <t>1.14-1.15</t>
        </is>
      </c>
      <c r="G9" s="13" t="n">
        <v>1219</v>
      </c>
      <c r="H9" s="13" t="n">
        <v>3000</v>
      </c>
      <c r="I9" s="13" t="inlineStr">
        <is>
          <t>切边</t>
        </is>
      </c>
      <c r="J9" s="13" t="n">
        <v>100</v>
      </c>
      <c r="K9" s="14" t="n">
        <v>3.4800012</v>
      </c>
      <c r="L9" s="13" t="n"/>
      <c r="M9" s="15">
        <f>K9*L9</f>
        <v/>
      </c>
      <c r="N9" s="15" t="inlineStr">
        <is>
          <t>见附件</t>
        </is>
      </c>
      <c r="O9" s="13" t="n"/>
      <c r="P9" s="13" t="inlineStr">
        <is>
          <t>1.8-2.0</t>
        </is>
      </c>
      <c r="Q9" s="16" t="n"/>
      <c r="R9" s="16" t="n"/>
    </row>
    <row r="10" ht="35" customHeight="1">
      <c r="A10" s="13" t="n">
        <v>2</v>
      </c>
      <c r="B10" s="13" t="n">
        <v>304</v>
      </c>
      <c r="C10" s="13" t="inlineStr">
        <is>
          <t>要求高 - NO.4砂水镀黑钛</t>
        </is>
      </c>
      <c r="D10" s="13" t="inlineStr">
        <is>
          <t>底膜10C诺凡赛尔+面膜7C黑白膜</t>
        </is>
      </c>
      <c r="E10" s="14" t="n">
        <v>1.2</v>
      </c>
      <c r="F10" s="13" t="inlineStr">
        <is>
          <t>1.14-1.15</t>
        </is>
      </c>
      <c r="G10" s="13" t="n">
        <v>1219</v>
      </c>
      <c r="H10" s="13" t="n">
        <v>2500</v>
      </c>
      <c r="I10" s="13" t="inlineStr">
        <is>
          <t>切边</t>
        </is>
      </c>
      <c r="J10" s="13" t="n">
        <v>100</v>
      </c>
      <c r="K10" s="14" t="n">
        <v>2.900001</v>
      </c>
      <c r="L10" s="13" t="n"/>
      <c r="M10" s="15">
        <f>K10*L10</f>
        <v/>
      </c>
      <c r="N10" s="15" t="inlineStr">
        <is>
          <t>见附件</t>
        </is>
      </c>
      <c r="O10" s="13" t="n"/>
      <c r="P10" s="13" t="inlineStr">
        <is>
          <t>1.8-2.0</t>
        </is>
      </c>
      <c r="Q10" s="16" t="n"/>
      <c r="R10" s="16" t="n"/>
    </row>
    <row r="11" ht="35" customHeight="1">
      <c r="A11" s="13" t="n">
        <v>3</v>
      </c>
      <c r="B11" s="13" t="n">
        <v>304</v>
      </c>
      <c r="C11" s="13" t="inlineStr">
        <is>
          <t>要求高 - 喷砂水镀黑钛</t>
        </is>
      </c>
      <c r="D11" s="13" t="inlineStr">
        <is>
          <t>底膜10C诺凡赛尔+面膜7C黑白膜</t>
        </is>
      </c>
      <c r="E11" s="14" t="n">
        <v>1.2</v>
      </c>
      <c r="F11" s="13" t="inlineStr">
        <is>
          <t>1.14-1.15</t>
        </is>
      </c>
      <c r="G11" s="13" t="n">
        <v>1219</v>
      </c>
      <c r="H11" s="13" t="n">
        <v>3000</v>
      </c>
      <c r="I11" s="13" t="inlineStr">
        <is>
          <t>切边</t>
        </is>
      </c>
      <c r="J11" s="13" t="n">
        <v>100</v>
      </c>
      <c r="K11" s="14" t="n">
        <v>3.4800012</v>
      </c>
      <c r="L11" s="13" t="n"/>
      <c r="M11" s="15">
        <f>K11*L11</f>
        <v/>
      </c>
      <c r="N11" s="15" t="inlineStr">
        <is>
          <t>见附件</t>
        </is>
      </c>
      <c r="O11" s="13" t="n"/>
      <c r="P11" s="13" t="inlineStr">
        <is>
          <t>1.8-2.0</t>
        </is>
      </c>
      <c r="Q11" s="16" t="n"/>
      <c r="R11" s="16" t="n"/>
    </row>
    <row r="12" ht="35" customHeight="1">
      <c r="A12" s="13" t="n">
        <v>4</v>
      </c>
      <c r="B12" s="13" t="n">
        <v>304</v>
      </c>
      <c r="C12" s="13" t="inlineStr">
        <is>
          <t>要求高 - 镜面水镀黑钛</t>
        </is>
      </c>
      <c r="D12" s="13" t="inlineStr">
        <is>
          <t>底膜10C诺凡赛尔+面膜7C黑白膜</t>
        </is>
      </c>
      <c r="E12" s="14" t="n">
        <v>1.2</v>
      </c>
      <c r="F12" s="13" t="inlineStr">
        <is>
          <t>1.14-1.15</t>
        </is>
      </c>
      <c r="G12" s="13" t="n">
        <v>1219</v>
      </c>
      <c r="H12" s="13" t="n">
        <v>3000</v>
      </c>
      <c r="I12" s="13" t="inlineStr">
        <is>
          <t>切边</t>
        </is>
      </c>
      <c r="J12" s="13" t="n">
        <v>50</v>
      </c>
      <c r="K12" s="14" t="n">
        <v>1.7400006</v>
      </c>
      <c r="L12" s="13" t="n"/>
      <c r="M12" s="15">
        <f>K12*L12</f>
        <v/>
      </c>
      <c r="N12" s="15" t="inlineStr">
        <is>
          <t>见附件</t>
        </is>
      </c>
      <c r="O12" s="13" t="n"/>
      <c r="P12" s="13" t="inlineStr">
        <is>
          <t>1.8-2.0</t>
        </is>
      </c>
      <c r="Q12" s="16" t="n"/>
      <c r="R12" s="16" t="n"/>
    </row>
    <row r="13" ht="35" customHeight="1">
      <c r="A13" s="13" t="n">
        <v>5</v>
      </c>
      <c r="B13" s="13" t="n">
        <v>304</v>
      </c>
      <c r="C13" s="13" t="inlineStr">
        <is>
          <t>要求高 - 镜面水镀黑钛</t>
        </is>
      </c>
      <c r="D13" s="13" t="inlineStr">
        <is>
          <t>底膜10C诺凡赛尔+面膜7C黑白膜</t>
        </is>
      </c>
      <c r="E13" s="14" t="n">
        <v>1.2</v>
      </c>
      <c r="F13" s="13" t="inlineStr">
        <is>
          <t>1.14-1.15</t>
        </is>
      </c>
      <c r="G13" s="13" t="n">
        <v>1219</v>
      </c>
      <c r="H13" s="13" t="n">
        <v>2500</v>
      </c>
      <c r="I13" s="13" t="inlineStr">
        <is>
          <t>切边</t>
        </is>
      </c>
      <c r="J13" s="13" t="n">
        <v>80</v>
      </c>
      <c r="K13" s="14" t="n">
        <v>2.3200008</v>
      </c>
      <c r="L13" s="13" t="n"/>
      <c r="M13" s="15">
        <f>K13*L13</f>
        <v/>
      </c>
      <c r="N13" s="15" t="inlineStr">
        <is>
          <t>见附件</t>
        </is>
      </c>
      <c r="O13" s="13" t="n"/>
      <c r="P13" s="13" t="inlineStr">
        <is>
          <t>1.8-2.0</t>
        </is>
      </c>
      <c r="Q13" s="16" t="n"/>
      <c r="R13" s="16" t="n"/>
    </row>
    <row r="14" ht="35" customHeight="1">
      <c r="A14" s="13" t="n">
        <v>6</v>
      </c>
      <c r="B14" s="13" t="n">
        <v>304</v>
      </c>
      <c r="C14" s="13" t="inlineStr">
        <is>
          <t>镜面黄钛金</t>
        </is>
      </c>
      <c r="D14" s="13" t="inlineStr">
        <is>
          <t>底膜10C诺凡赛尔+面膜7C黑白膜</t>
        </is>
      </c>
      <c r="E14" s="14" t="n">
        <v>0.8</v>
      </c>
      <c r="F14" s="13" t="inlineStr">
        <is>
          <t>0.76-0.77</t>
        </is>
      </c>
      <c r="G14" s="13" t="n">
        <v>1219</v>
      </c>
      <c r="H14" s="13" t="n">
        <v>2500</v>
      </c>
      <c r="I14" s="13" t="inlineStr">
        <is>
          <t>切边</t>
        </is>
      </c>
      <c r="J14" s="13" t="n">
        <v>150</v>
      </c>
      <c r="K14" s="14" t="n">
        <v>2.900001</v>
      </c>
      <c r="L14" s="13" t="n"/>
      <c r="M14" s="15">
        <f>K14*L14</f>
        <v/>
      </c>
      <c r="N14" s="15" t="inlineStr">
        <is>
          <t>见附件</t>
        </is>
      </c>
      <c r="O14" s="13" t="n"/>
      <c r="P14" s="13" t="inlineStr">
        <is>
          <t>1.8-2.0</t>
        </is>
      </c>
      <c r="Q14" s="16" t="n"/>
      <c r="R14" s="16" t="n"/>
    </row>
    <row r="15" ht="35" customHeight="1">
      <c r="A15" s="13" t="n">
        <v>7</v>
      </c>
      <c r="B15" s="13" t="n">
        <v>304</v>
      </c>
      <c r="C15" s="13" t="inlineStr">
        <is>
          <t>镜面黄钛金</t>
        </is>
      </c>
      <c r="D15" s="13" t="inlineStr">
        <is>
          <t>底膜10C诺凡赛尔+面膜7C黑白膜</t>
        </is>
      </c>
      <c r="E15" s="14" t="n">
        <v>1.2</v>
      </c>
      <c r="F15" s="13" t="inlineStr">
        <is>
          <t>1.14-1.15</t>
        </is>
      </c>
      <c r="G15" s="13" t="n">
        <v>1219</v>
      </c>
      <c r="H15" s="13" t="n">
        <v>2500</v>
      </c>
      <c r="I15" s="13" t="inlineStr">
        <is>
          <t>切边</t>
        </is>
      </c>
      <c r="J15" s="13" t="n">
        <v>80</v>
      </c>
      <c r="K15" s="14" t="n">
        <v>2.3200008</v>
      </c>
      <c r="L15" s="13" t="n"/>
      <c r="M15" s="15">
        <f>K15*L15</f>
        <v/>
      </c>
      <c r="N15" s="15" t="inlineStr">
        <is>
          <t>见附件</t>
        </is>
      </c>
      <c r="O15" s="13" t="n"/>
      <c r="P15" s="13" t="inlineStr">
        <is>
          <t>1.8-2.0</t>
        </is>
      </c>
      <c r="Q15" s="16" t="n"/>
      <c r="R15" s="16" t="n"/>
    </row>
    <row r="16" ht="35" customHeight="1">
      <c r="A16" s="13" t="n">
        <v>8</v>
      </c>
      <c r="B16" s="13" t="n">
        <v>304</v>
      </c>
      <c r="C16" s="13" t="inlineStr">
        <is>
          <t>要求高 - 6WL</t>
        </is>
      </c>
      <c r="D16" s="13" t="inlineStr">
        <is>
          <t>底膜10C诺凡赛尔+面膜7C黑白膜</t>
        </is>
      </c>
      <c r="E16" s="14" t="n">
        <v>2</v>
      </c>
      <c r="F16" s="13" t="inlineStr">
        <is>
          <t>1.90-1.95</t>
        </is>
      </c>
      <c r="G16" s="13" t="n">
        <v>1219</v>
      </c>
      <c r="H16" s="13" t="n">
        <v>2438</v>
      </c>
      <c r="I16" s="13" t="inlineStr">
        <is>
          <t>切边</t>
        </is>
      </c>
      <c r="J16" s="13" t="n">
        <v>15</v>
      </c>
      <c r="K16" s="14" t="n">
        <v>0.7070202438000001</v>
      </c>
      <c r="L16" s="13" t="n"/>
      <c r="M16" s="15">
        <f>K16*L16</f>
        <v/>
      </c>
      <c r="N16" s="15" t="inlineStr">
        <is>
          <t>见附件</t>
        </is>
      </c>
      <c r="O16" s="13" t="n"/>
      <c r="P16" s="13" t="inlineStr">
        <is>
          <t>1.8-2.0</t>
        </is>
      </c>
      <c r="Q16" s="16" t="n"/>
      <c r="R16" s="16" t="n"/>
    </row>
    <row r="17" ht="35" customHeight="1">
      <c r="A17" s="13" t="n">
        <v>9</v>
      </c>
      <c r="B17" s="13" t="n">
        <v>304</v>
      </c>
      <c r="C17" s="13" t="inlineStr">
        <is>
          <t>要求高 - 喷砂红铜（对样）</t>
        </is>
      </c>
      <c r="D17" s="13" t="inlineStr">
        <is>
          <t>底膜10C诺凡赛尔+面膜7C黑白膜</t>
        </is>
      </c>
      <c r="E17" s="14" t="n">
        <v>1.2</v>
      </c>
      <c r="F17" s="13" t="inlineStr">
        <is>
          <t>1.14-1.15</t>
        </is>
      </c>
      <c r="G17" s="13" t="n">
        <v>1219</v>
      </c>
      <c r="H17" s="13" t="n">
        <v>2500</v>
      </c>
      <c r="I17" s="13" t="inlineStr">
        <is>
          <t>切边</t>
        </is>
      </c>
      <c r="J17" s="13" t="n">
        <v>50</v>
      </c>
      <c r="K17" s="14" t="n">
        <v>1.4500005</v>
      </c>
      <c r="L17" s="13" t="n"/>
      <c r="M17" s="15">
        <f>K17*L17</f>
        <v/>
      </c>
      <c r="N17" s="15" t="inlineStr">
        <is>
          <t>见附件</t>
        </is>
      </c>
      <c r="O17" s="13" t="n"/>
      <c r="P17" s="13" t="inlineStr">
        <is>
          <t>1.8-2.0</t>
        </is>
      </c>
      <c r="Q17" s="16" t="n"/>
      <c r="R17" s="16" t="n"/>
    </row>
    <row r="18" ht="21" customHeight="1">
      <c r="A18" s="17" t="inlineStr">
        <is>
          <t>Per container weight/单柜重: 25.0-27.5MT/20GP</t>
        </is>
      </c>
      <c r="B18" s="18" t="n"/>
      <c r="C18" s="18" t="n"/>
      <c r="D18" s="18" t="n"/>
      <c r="E18" s="18" t="n"/>
      <c r="F18" s="18" t="n"/>
      <c r="G18" s="18" t="n"/>
      <c r="H18" s="18" t="n"/>
      <c r="I18" s="19" t="n"/>
      <c r="J18" s="17">
        <f>SUM(J9:J17)</f>
        <v/>
      </c>
      <c r="K18" s="20">
        <f>SUM(K9:K17)</f>
        <v/>
      </c>
      <c r="L18" s="17" t="n"/>
      <c r="M18" s="21">
        <f>SUM(M9:M17)</f>
        <v/>
      </c>
      <c r="N18" s="21" t="n"/>
      <c r="O18" s="17" t="n"/>
      <c r="P18" s="17" t="n"/>
      <c r="Q18" s="22" t="n"/>
      <c r="R18" s="22" t="n"/>
    </row>
    <row r="19" ht="21" customHeight="1">
      <c r="A19" s="17" t="inlineStr">
        <is>
          <t>Total 1 CONTAINERS / 共1柜</t>
        </is>
      </c>
      <c r="B19" s="18" t="n"/>
      <c r="C19" s="18" t="n"/>
      <c r="D19" s="18" t="n"/>
      <c r="E19" s="18" t="n"/>
      <c r="F19" s="18" t="n"/>
      <c r="G19" s="18" t="n"/>
      <c r="H19" s="18" t="n"/>
      <c r="I19" s="19" t="n"/>
      <c r="J19" s="23" t="inlineStr">
        <is>
          <t>Advanced payment 定金：</t>
        </is>
      </c>
      <c r="K19" s="18" t="n"/>
      <c r="L19" s="18" t="n"/>
      <c r="M19" s="18" t="n"/>
      <c r="N19" s="18" t="n"/>
      <c r="O19" s="18" t="n"/>
      <c r="P19" s="19" t="n"/>
      <c r="Q19" s="22" t="n"/>
      <c r="R19" s="22" t="n"/>
    </row>
    <row r="20" ht="22" customHeight="1">
      <c r="A20" s="24" t="inlineStr">
        <is>
          <t>备注/NOTES</t>
        </is>
      </c>
      <c r="B20" s="25" t="n"/>
      <c r="C20" s="26" t="inlineStr">
        <is>
          <t>重量公差：常规+/-5%
唛头：无。
分批装运：不允许。</t>
        </is>
      </c>
      <c r="D20" s="25" t="n"/>
      <c r="E20" s="26" t="inlineStr">
        <is>
          <t xml:space="preserve">Weight Tolerance : Regular +/-5%. 
Shipping Mark : None. 
Partial Shipment : Not allowed. </t>
        </is>
      </c>
      <c r="F20" s="27" t="n"/>
      <c r="G20" s="27" t="n"/>
      <c r="H20" s="27" t="n"/>
      <c r="I20" s="25" t="n"/>
      <c r="J20" s="24" t="inlineStr">
        <is>
          <t>FOB NANSHA
FOB南沙</t>
        </is>
      </c>
      <c r="K20" s="27" t="n"/>
      <c r="L20" s="27" t="n"/>
      <c r="M20" s="27" t="n"/>
      <c r="N20" s="27" t="n"/>
      <c r="O20" s="27" t="n"/>
      <c r="P20" s="25" t="n"/>
      <c r="Q20" s="22" t="n"/>
      <c r="R20" s="22" t="n"/>
    </row>
    <row r="21" ht="25" customHeight="1">
      <c r="A21" s="28" t="n"/>
      <c r="B21" s="29" t="n"/>
      <c r="C21" s="28" t="n"/>
      <c r="D21" s="29" t="n"/>
      <c r="E21" s="28" t="n"/>
      <c r="I21" s="29" t="n"/>
      <c r="J21" s="28" t="n"/>
      <c r="P21" s="29" t="n"/>
      <c r="Q21" s="22" t="n"/>
      <c r="R21" s="22" t="n"/>
    </row>
    <row r="22" ht="22" customHeight="1">
      <c r="A22" s="30" t="n"/>
      <c r="B22" s="31" t="n"/>
      <c r="C22" s="30" t="n"/>
      <c r="D22" s="31" t="n"/>
      <c r="E22" s="30" t="n"/>
      <c r="F22" s="32" t="n"/>
      <c r="G22" s="32" t="n"/>
      <c r="H22" s="32" t="n"/>
      <c r="I22" s="31" t="n"/>
      <c r="J22" s="30" t="n"/>
      <c r="K22" s="32" t="n"/>
      <c r="L22" s="32" t="n"/>
      <c r="M22" s="32" t="n"/>
      <c r="N22" s="32" t="n"/>
      <c r="O22" s="32" t="n"/>
      <c r="P22" s="31" t="n"/>
      <c r="Q22" s="22" t="n"/>
      <c r="R22" s="22" t="n"/>
    </row>
    <row r="23" ht="23" customHeight="1">
      <c r="A23" s="33" t="inlineStr">
        <is>
          <t>补充要求 S.R.：</t>
        </is>
      </c>
      <c r="B23" s="18" t="n"/>
      <c r="C23" s="18" t="n"/>
      <c r="D23" s="18" t="n"/>
      <c r="E23" s="18" t="n"/>
      <c r="F23" s="18" t="n"/>
      <c r="G23" s="18" t="n"/>
      <c r="H23" s="18" t="n"/>
      <c r="I23" s="18" t="n"/>
      <c r="J23" s="18" t="n"/>
      <c r="K23" s="18" t="n"/>
      <c r="L23" s="18" t="n"/>
      <c r="M23" s="18" t="n"/>
      <c r="N23" s="18" t="n"/>
      <c r="O23" s="18" t="n"/>
      <c r="P23" s="19" t="n"/>
      <c r="Q23" s="22" t="n"/>
      <c r="R23" s="22" t="n"/>
    </row>
    <row r="24" ht="18.5" customHeight="1">
      <c r="A24" s="1" t="inlineStr">
        <is>
          <t>1. 价格与增值税/ PRICE and VAT：</t>
        </is>
      </c>
      <c r="Q24" s="4" t="n"/>
      <c r="R24" s="4" t="n"/>
    </row>
    <row r="25" ht="18.5" customHeight="1">
      <c r="A25" s="34" t="inlineStr">
        <is>
          <t>本合同约定价格为不含任何增值税。买方应承担适用的增值税额。买方支付合同价款及相应增值税款是卖方开具增值税发票及交付货物的先决条件。
The price stipulated in this Contract is exclusive of any Value Added Tax (VAT). The Buyer shall bear the applicable VAT amount. Payment of the contract price together with the corresponding VAT amount by the Buyer shall be a condition precedent for the Seller to issue the VAT invoice and deliver the goods.</t>
        </is>
      </c>
      <c r="Q25" s="35" t="n"/>
      <c r="R25" s="35" t="n"/>
    </row>
    <row r="26" ht="18.5" customHeight="1">
      <c r="Q26" s="35" t="n"/>
      <c r="R26" s="35" t="n"/>
    </row>
    <row r="27" ht="18.5" customHeight="1">
      <c r="Q27" s="35" t="n"/>
      <c r="R27" s="35" t="n"/>
    </row>
    <row r="28" ht="18.5" customHeight="1">
      <c r="A28" s="1" t="inlineStr">
        <is>
          <t>2. 付款方式/PAYMENT TERM：</t>
        </is>
      </c>
      <c r="Q28" s="4" t="n"/>
      <c r="R28" s="4" t="n"/>
    </row>
    <row r="29" ht="18.5" customHeight="1">
      <c r="A29" s="6" t="inlineStr">
        <is>
          <t>1) 预付款：合同签订后三个工作日内买方电汇预付款给卖方。如果买方不及时支付预付款，卖方可根据市场情况调整出口价格。
The advanced payment: The Buyer should pay advance payment by T/T within three days after the contract is confirmed. If the Buyer cannot pay the advanced payment in time, the Seller has the right to modify the sales price as per the new market situation.</t>
        </is>
      </c>
      <c r="Q29" s="6" t="n"/>
      <c r="R29" s="6" t="n"/>
    </row>
    <row r="30" ht="18.5" customHeight="1">
      <c r="Q30" s="6" t="n"/>
      <c r="R30" s="6" t="n"/>
    </row>
    <row r="31" ht="18.5" customHeight="1">
      <c r="A31" s="5" t="inlineStr">
        <is>
          <t>2) 尾款：货物准备好后，卖方应提供电子版商业发票和装箱单来收取余款。装柜前，买方根据卖方提供的发票电汇合同余款。
The balance payment: The Seller shall provide a soft copy of the commercial invoice and packing list to collect the balance after the goods are ready. The Buyers should pay the balance payment by T/T against the invoice issued by the Seller before shipment.</t>
        </is>
      </c>
      <c r="Q31" s="6" t="n"/>
      <c r="R31" s="6" t="n"/>
    </row>
    <row r="32" ht="18.5" customHeight="1">
      <c r="Q32" s="6" t="n"/>
      <c r="R32" s="6" t="n"/>
    </row>
    <row r="33" ht="18.5" customHeight="1">
      <c r="A33" s="1" t="inlineStr">
        <is>
          <t>3. 交货时间/DELIVERY TIME:</t>
        </is>
      </c>
      <c r="Q33" s="4" t="n"/>
      <c r="R33" s="4" t="n"/>
    </row>
    <row r="34" ht="18.5" customHeight="1">
      <c r="A34" s="34" t="inlineStr">
        <is>
          <t>卖方收到 TT 电汇定金后,  15-21天，TT 电汇全部尾款到账后立即发货。
Upon 15-21days, after the seller receives the TT deposit, full TT balance reaching seller A/C to load.</t>
        </is>
      </c>
      <c r="Q34" s="6" t="n"/>
      <c r="R34" s="6" t="n"/>
    </row>
    <row r="35" ht="18.5" customHeight="1">
      <c r="Q35" s="6" t="n"/>
      <c r="R35" s="6" t="n"/>
    </row>
    <row r="36" ht="21" customHeight="1">
      <c r="A36" s="36" t="inlineStr">
        <is>
          <t>银行信息（ Bank information ）：</t>
        </is>
      </c>
      <c r="B36" s="18" t="n"/>
      <c r="C36" s="18" t="n"/>
      <c r="D36" s="18" t="n"/>
      <c r="E36" s="18" t="n"/>
      <c r="F36" s="18" t="n"/>
      <c r="G36" s="18" t="n"/>
      <c r="H36" s="18" t="n"/>
      <c r="I36" s="18" t="n"/>
      <c r="J36" s="18" t="n"/>
      <c r="K36" s="18" t="n"/>
      <c r="L36" s="18" t="n"/>
      <c r="M36" s="18" t="n"/>
      <c r="N36" s="18" t="n"/>
      <c r="O36" s="18" t="n"/>
      <c r="P36" s="19" t="n"/>
      <c r="Q36" s="6" t="n"/>
      <c r="R36" s="6" t="n"/>
    </row>
    <row r="37" ht="21" customHeight="1">
      <c r="A37" s="37" t="inlineStr">
        <is>
          <t>Account number :</t>
        </is>
      </c>
      <c r="B37" s="19" t="n"/>
      <c r="C37" s="38" t="n">
        <v>63003648464</v>
      </c>
      <c r="D37" s="18" t="n"/>
      <c r="E37" s="18" t="n"/>
      <c r="F37" s="18" t="n"/>
      <c r="G37" s="18" t="n"/>
      <c r="H37" s="18" t="n"/>
      <c r="I37" s="18" t="n"/>
      <c r="J37" s="18" t="n"/>
      <c r="K37" s="18" t="n"/>
      <c r="L37" s="18" t="n"/>
      <c r="M37" s="18" t="n"/>
      <c r="N37" s="18" t="n"/>
      <c r="O37" s="18" t="n"/>
      <c r="P37" s="19" t="n"/>
      <c r="Q37" s="6" t="n"/>
      <c r="R37" s="6" t="n"/>
    </row>
    <row r="38" ht="21" customHeight="1">
      <c r="A38" s="37" t="inlineStr">
        <is>
          <t>Account name :</t>
        </is>
      </c>
      <c r="B38" s="19" t="n"/>
      <c r="C38" s="38" t="inlineStr">
        <is>
          <t>HONG KONG ZIYE METAL MATERIALS CO ., LIMITED (* If the account name exceeds the available space, please continue in the address field.)</t>
        </is>
      </c>
      <c r="D38" s="18" t="n"/>
      <c r="E38" s="18" t="n"/>
      <c r="F38" s="18" t="n"/>
      <c r="G38" s="18" t="n"/>
      <c r="H38" s="18" t="n"/>
      <c r="I38" s="18" t="n"/>
      <c r="J38" s="18" t="n"/>
      <c r="K38" s="18" t="n"/>
      <c r="L38" s="18" t="n"/>
      <c r="M38" s="18" t="n"/>
      <c r="N38" s="18" t="n"/>
      <c r="O38" s="18" t="n"/>
      <c r="P38" s="19" t="n"/>
      <c r="Q38" s="6" t="n"/>
      <c r="R38" s="6" t="n"/>
    </row>
    <row r="39" ht="21" customHeight="1">
      <c r="A39" s="37" t="inlineStr">
        <is>
          <t>Bank name :</t>
        </is>
      </c>
      <c r="B39" s="19" t="n"/>
      <c r="C39" s="38" t="inlineStr">
        <is>
          <t xml:space="preserve">JPMorgan Chase Bank N.A., Hong Kong Branch </t>
        </is>
      </c>
      <c r="D39" s="18" t="n"/>
      <c r="E39" s="18" t="n"/>
      <c r="F39" s="18" t="n"/>
      <c r="G39" s="18" t="n"/>
      <c r="H39" s="18" t="n"/>
      <c r="I39" s="18" t="n"/>
      <c r="J39" s="18" t="n"/>
      <c r="K39" s="18" t="n"/>
      <c r="L39" s="18" t="n"/>
      <c r="M39" s="18" t="n"/>
      <c r="N39" s="18" t="n"/>
      <c r="O39" s="18" t="n"/>
      <c r="P39" s="19" t="n"/>
      <c r="Q39" s="6" t="n"/>
      <c r="R39" s="6" t="n"/>
    </row>
    <row r="40" ht="21" customHeight="1">
      <c r="A40" s="37" t="inlineStr">
        <is>
          <t>SWIFT/BIC code :</t>
        </is>
      </c>
      <c r="B40" s="19" t="n"/>
      <c r="C40" s="38" t="inlineStr">
        <is>
          <t>CHASHKHH  （CHASHKHHXXX*If 11 characters are required）</t>
        </is>
      </c>
      <c r="D40" s="18" t="n"/>
      <c r="E40" s="18" t="n"/>
      <c r="F40" s="18" t="n"/>
      <c r="G40" s="18" t="n"/>
      <c r="H40" s="18" t="n"/>
      <c r="I40" s="18" t="n"/>
      <c r="J40" s="18" t="n"/>
      <c r="K40" s="18" t="n"/>
      <c r="L40" s="18" t="n"/>
      <c r="M40" s="18" t="n"/>
      <c r="N40" s="18" t="n"/>
      <c r="O40" s="18" t="n"/>
      <c r="P40" s="19" t="n"/>
      <c r="Q40" s="4" t="n"/>
      <c r="R40" s="4" t="n"/>
    </row>
    <row r="41" ht="21" customHeight="1">
      <c r="A41" s="37" t="inlineStr">
        <is>
          <t>Sort code :</t>
        </is>
      </c>
      <c r="B41" s="19" t="n"/>
      <c r="C41" s="38" t="inlineStr">
        <is>
          <t xml:space="preserve">007 </t>
        </is>
      </c>
      <c r="D41" s="18" t="n"/>
      <c r="E41" s="18" t="n"/>
      <c r="F41" s="18" t="n"/>
      <c r="G41" s="18" t="n"/>
      <c r="H41" s="18" t="n"/>
      <c r="I41" s="18" t="n"/>
      <c r="J41" s="18" t="n"/>
      <c r="K41" s="18" t="n"/>
      <c r="L41" s="18" t="n"/>
      <c r="M41" s="18" t="n"/>
      <c r="N41" s="18" t="n"/>
      <c r="O41" s="18" t="n"/>
      <c r="P41" s="19" t="n"/>
      <c r="Q41" s="6" t="n"/>
      <c r="R41" s="6" t="n"/>
    </row>
    <row r="42" ht="21" customHeight="1">
      <c r="A42" s="37" t="inlineStr">
        <is>
          <t>Branch code :</t>
        </is>
      </c>
      <c r="B42" s="19" t="n"/>
      <c r="C42" s="38" t="inlineStr">
        <is>
          <t xml:space="preserve">863 </t>
        </is>
      </c>
      <c r="D42" s="18" t="n"/>
      <c r="E42" s="18" t="n"/>
      <c r="F42" s="18" t="n"/>
      <c r="G42" s="18" t="n"/>
      <c r="H42" s="18" t="n"/>
      <c r="I42" s="18" t="n"/>
      <c r="J42" s="18" t="n"/>
      <c r="K42" s="18" t="n"/>
      <c r="L42" s="18" t="n"/>
      <c r="M42" s="18" t="n"/>
      <c r="N42" s="18" t="n"/>
      <c r="O42" s="18" t="n"/>
      <c r="P42" s="19" t="n"/>
      <c r="Q42" s="6" t="n"/>
      <c r="R42" s="6" t="n"/>
    </row>
    <row r="43" ht="21" customHeight="1">
      <c r="A43" s="37" t="inlineStr">
        <is>
          <t>Bank address :</t>
        </is>
      </c>
      <c r="B43" s="19" t="n"/>
      <c r="C43" s="38" t="inlineStr">
        <is>
          <t xml:space="preserve">18/F, 20/F, 22-29/F, CHATER HOUSE, 8 CONNAUGHT ROAD CENTRAL, HONG KONG </t>
        </is>
      </c>
      <c r="D43" s="18" t="n"/>
      <c r="E43" s="18" t="n"/>
      <c r="F43" s="18" t="n"/>
      <c r="G43" s="18" t="n"/>
      <c r="H43" s="18" t="n"/>
      <c r="I43" s="18" t="n"/>
      <c r="J43" s="18" t="n"/>
      <c r="K43" s="18" t="n"/>
      <c r="L43" s="18" t="n"/>
      <c r="M43" s="18" t="n"/>
      <c r="N43" s="18" t="n"/>
      <c r="O43" s="18" t="n"/>
      <c r="P43" s="19" t="n"/>
      <c r="Q43" s="6" t="n"/>
      <c r="R43" s="6" t="n"/>
    </row>
    <row r="44" ht="21" customHeight="1">
      <c r="A44" s="37" t="inlineStr">
        <is>
          <t>Country/region :</t>
        </is>
      </c>
      <c r="B44" s="19" t="n"/>
      <c r="C44" s="38" t="inlineStr">
        <is>
          <t xml:space="preserve">Hong Kong (China) </t>
        </is>
      </c>
      <c r="D44" s="18" t="n"/>
      <c r="E44" s="18" t="n"/>
      <c r="F44" s="18" t="n"/>
      <c r="G44" s="18" t="n"/>
      <c r="H44" s="18" t="n"/>
      <c r="I44" s="18" t="n"/>
      <c r="J44" s="18" t="n"/>
      <c r="K44" s="18" t="n"/>
      <c r="L44" s="18" t="n"/>
      <c r="M44" s="18" t="n"/>
      <c r="N44" s="18" t="n"/>
      <c r="O44" s="18" t="n"/>
      <c r="P44" s="19" t="n"/>
      <c r="Q44" s="6" t="n"/>
      <c r="R44" s="6" t="n"/>
    </row>
    <row r="45" ht="21" customHeight="1">
      <c r="A45" s="37" t="inlineStr">
        <is>
          <t>Account type :</t>
        </is>
      </c>
      <c r="B45" s="19" t="n"/>
      <c r="C45" s="38" t="inlineStr">
        <is>
          <t xml:space="preserve">Business Account </t>
        </is>
      </c>
      <c r="D45" s="18" t="n"/>
      <c r="E45" s="18" t="n"/>
      <c r="F45" s="18" t="n"/>
      <c r="G45" s="18" t="n"/>
      <c r="H45" s="18" t="n"/>
      <c r="I45" s="18" t="n"/>
      <c r="J45" s="18" t="n"/>
      <c r="K45" s="18" t="n"/>
      <c r="L45" s="18" t="n"/>
      <c r="M45" s="18" t="n"/>
      <c r="N45" s="18" t="n"/>
      <c r="O45" s="18" t="n"/>
      <c r="P45" s="19" t="n"/>
      <c r="Q45" s="6" t="n"/>
      <c r="R45" s="6" t="n"/>
    </row>
    <row r="46" ht="21" customHeight="1">
      <c r="A46" s="37" t="inlineStr">
        <is>
          <t>Payment method :</t>
        </is>
      </c>
      <c r="B46" s="19" t="n"/>
      <c r="C46" s="38" t="inlineStr">
        <is>
          <t xml:space="preserve">For the payment of goods, please make a SWIFT/CHATS/FPS Payment </t>
        </is>
      </c>
      <c r="D46" s="18" t="n"/>
      <c r="E46" s="18" t="n"/>
      <c r="F46" s="18" t="n"/>
      <c r="G46" s="18" t="n"/>
      <c r="H46" s="18" t="n"/>
      <c r="I46" s="18" t="n"/>
      <c r="J46" s="18" t="n"/>
      <c r="K46" s="18" t="n"/>
      <c r="L46" s="18" t="n"/>
      <c r="M46" s="18" t="n"/>
      <c r="N46" s="18" t="n"/>
      <c r="O46" s="18" t="n"/>
      <c r="P46" s="19" t="n"/>
      <c r="Q46" s="6" t="n"/>
      <c r="R46" s="6" t="n"/>
    </row>
    <row r="47" ht="21" customHeight="1">
      <c r="A47" s="37" t="inlineStr">
        <is>
          <t>Notes :</t>
        </is>
      </c>
      <c r="B47" s="19" t="n"/>
      <c r="C47" s="38" t="inlineStr">
        <is>
          <t xml:space="preserve">Please include [Buyer's Name, Invoice/Contract Number, and Product Name] in the memo or note section when making the payment. </t>
        </is>
      </c>
      <c r="D47" s="18" t="n"/>
      <c r="E47" s="18" t="n"/>
      <c r="F47" s="18" t="n"/>
      <c r="G47" s="18" t="n"/>
      <c r="H47" s="18" t="n"/>
      <c r="I47" s="18" t="n"/>
      <c r="J47" s="18" t="n"/>
      <c r="K47" s="18" t="n"/>
      <c r="L47" s="18" t="n"/>
      <c r="M47" s="18" t="n"/>
      <c r="N47" s="18" t="n"/>
      <c r="O47" s="18" t="n"/>
      <c r="P47" s="19" t="n"/>
      <c r="Q47" s="6" t="n"/>
      <c r="R47" s="6" t="n"/>
    </row>
    <row r="48" ht="4" customHeight="1">
      <c r="A48" s="39" t="n"/>
      <c r="B48" s="39" t="n"/>
      <c r="C48" s="10" t="n"/>
      <c r="D48" s="10" t="n"/>
      <c r="E48" s="10" t="n"/>
      <c r="F48" s="10" t="n"/>
      <c r="G48" s="10" t="n"/>
      <c r="H48" s="10" t="n"/>
      <c r="I48" s="10" t="n"/>
      <c r="J48" s="10" t="n"/>
      <c r="K48" s="10" t="n"/>
      <c r="L48" s="10" t="n"/>
      <c r="M48" s="10" t="n"/>
      <c r="N48" s="10" t="n"/>
      <c r="O48" s="10" t="n"/>
      <c r="P48" s="10" t="n"/>
      <c r="Q48" s="6" t="n"/>
      <c r="R48" s="6" t="n"/>
    </row>
    <row r="49" ht="18.5" customHeight="1">
      <c r="A49" s="5" t="inlineStr">
        <is>
          <t>卖方（签/盖）
Seller (Signature &amp; Stamp)</t>
        </is>
      </c>
      <c r="G49" s="5" t="inlineStr">
        <is>
          <t>买方（签/盖）
Buyer (Signature &amp; Stamp)</t>
        </is>
      </c>
      <c r="Q49" s="6" t="n"/>
      <c r="R49" s="6" t="n"/>
    </row>
    <row r="50" ht="18.5" customHeight="1">
      <c r="Q50" s="6" t="n"/>
      <c r="R50" s="6" t="n"/>
    </row>
  </sheetData>
  <mergeCells count="46">
    <mergeCell ref="A31:P32"/>
    <mergeCell ref="A23:P23"/>
    <mergeCell ref="A45:B45"/>
    <mergeCell ref="C42:P42"/>
    <mergeCell ref="A18:I18"/>
    <mergeCell ref="A4:J4"/>
    <mergeCell ref="C45:P45"/>
    <mergeCell ref="A28:P28"/>
    <mergeCell ref="A49:F50"/>
    <mergeCell ref="C20:D22"/>
    <mergeCell ref="A41:B41"/>
    <mergeCell ref="E20:I22"/>
    <mergeCell ref="C47:P47"/>
    <mergeCell ref="A37:B37"/>
    <mergeCell ref="A46:B46"/>
    <mergeCell ref="C41:P41"/>
    <mergeCell ref="A40:B40"/>
    <mergeCell ref="C44:P44"/>
    <mergeCell ref="A24:P24"/>
    <mergeCell ref="C40:P40"/>
    <mergeCell ref="G49:P50"/>
    <mergeCell ref="J19:P19"/>
    <mergeCell ref="A1:J1"/>
    <mergeCell ref="A19:I19"/>
    <mergeCell ref="A36:P36"/>
    <mergeCell ref="C43:P43"/>
    <mergeCell ref="C46:P46"/>
    <mergeCell ref="A42:B42"/>
    <mergeCell ref="A6:P6"/>
    <mergeCell ref="A47:B47"/>
    <mergeCell ref="A7:P7"/>
    <mergeCell ref="A29:P30"/>
    <mergeCell ref="A38:B38"/>
    <mergeCell ref="C39:P39"/>
    <mergeCell ref="A20:B22"/>
    <mergeCell ref="A43:B43"/>
    <mergeCell ref="B3:P3"/>
    <mergeCell ref="C38:P38"/>
    <mergeCell ref="A25:P27"/>
    <mergeCell ref="A44:B44"/>
    <mergeCell ref="A34:P35"/>
    <mergeCell ref="A2:J2"/>
    <mergeCell ref="C37:P37"/>
    <mergeCell ref="J20:P22"/>
    <mergeCell ref="A39:B39"/>
    <mergeCell ref="A33:P33"/>
  </mergeCells>
  <pageMargins left="0.4" right="0.4" top="0.5" bottom="0.5" header="0.5" footer="0.5"/>
  <pageSetup orientation="landscape" paperSize="9" scale="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2026-08-28T10:43:33Z</dcterms:created>
  <dcterms:modified xmlns:dcterms="http://purl.org/dc/terms/" xmlns:xsi="http://www.w3.org/2001/XMLSchema-instance" xsi:type="dcterms:W3CDTF">2026-08-28T10:43:33Z</dcterms:modified>
</cp:coreProperties>
</file>