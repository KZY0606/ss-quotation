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0.00_ "/>
    <numFmt numFmtId="165" formatCode="0.0_ "/>
  </numFmts>
  <fonts count="5">
    <font>
      <name val="Calibri"/>
      <family val="2"/>
      <color theme="1"/>
      <sz val="11"/>
      <scheme val="minor"/>
    </font>
    <font>
      <color rgb="FFFF0000"/>
      <sz val="14"/>
    </font>
    <font>
      <sz val="14"/>
    </font>
    <font>
      <sz val="18"/>
    </font>
    <font>
      <sz val="16"/>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2" fillId="0" borderId="0" pivotButton="0" quotePrefix="0" xfId="0"/>
    <xf numFmtId="0" fontId="1" fillId="0" borderId="0" pivotButton="0" quotePrefix="0" xfId="0"/>
    <xf numFmtId="0" fontId="2"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center" vertical="center" wrapText="1"/>
    </xf>
    <xf numFmtId="164" fontId="0" fillId="0" borderId="1" applyAlignment="1" pivotButton="0" quotePrefix="0" xfId="0">
      <alignment horizontal="center" vertical="center" wrapText="1"/>
    </xf>
    <xf numFmtId="165" fontId="0" fillId="0" borderId="1" applyAlignment="1" pivotButton="0" quotePrefix="0" xfId="0">
      <alignment horizontal="center" vertical="center" wrapText="1"/>
    </xf>
    <xf numFmtId="0" fontId="4" fillId="0" borderId="1" pivotButton="0" quotePrefix="0" xfId="0"/>
    <xf numFmtId="0" fontId="0" fillId="0" borderId="1" pivotButton="0" quotePrefix="0" xfId="0"/>
    <xf numFmtId="164" fontId="0" fillId="0" borderId="1" pivotButton="0" quotePrefix="0" xfId="0"/>
    <xf numFmtId="165" fontId="0" fillId="0" borderId="1" pivotButton="0" quotePrefix="0" xfId="0"/>
    <xf numFmtId="0" fontId="4"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0"/>
  <sheetViews>
    <sheetView workbookViewId="0">
      <selection activeCell="A1" sqref="A1"/>
    </sheetView>
  </sheetViews>
  <sheetFormatPr baseColWidth="8" defaultRowHeight="15"/>
  <cols>
    <col width="10.0078125" customWidth="1" min="1" max="1"/>
    <col width="11.94140625" customWidth="1" min="2" max="2"/>
    <col width="38.07421875" customWidth="1" min="3" max="3"/>
    <col width="42.83984375" customWidth="1" min="4" max="4"/>
    <col width="12.390625" customWidth="1" min="5" max="5"/>
    <col width="18.296875" customWidth="1" min="6" max="6"/>
    <col width="11.72265625" customWidth="1" min="7" max="7"/>
    <col width="11.671875" customWidth="1" min="8" max="8"/>
    <col width="9.70703125" customWidth="1" min="9" max="9"/>
    <col width="8.19140625" customWidth="1" min="10" max="10"/>
    <col width="10.25" customWidth="1" min="11" max="11"/>
    <col width="13.921875" customWidth="1" min="12" max="12"/>
    <col width="13.28125" customWidth="1" min="13" max="13"/>
    <col width="13.28125" customWidth="1" min="14" max="14"/>
    <col width="33.3046875" customWidth="1" min="15" max="15"/>
    <col width="23.125" customWidth="1" min="16" max="16"/>
    <col width="19.375" customWidth="1" min="17" max="17"/>
    <col width="19.375" customWidth="1" min="18" max="18"/>
  </cols>
  <sheetData>
    <row r="1" ht="18.5" customHeight="1">
      <c r="A1" s="1" t="inlineStr">
        <is>
          <t>卖方（ Seller ）：香港梓燁不銹鋼有限公司（ HONG KONG ZIYE METAL MATERIALS CO., LIMITED ）</t>
        </is>
      </c>
      <c r="P1" s="2" t="inlineStr">
        <is>
          <t>Contract number: ABC12341212123-12</t>
        </is>
      </c>
    </row>
    <row r="2" ht="18.5" customHeight="1">
      <c r="A2" s="1" t="inlineStr">
        <is>
          <t>地址（ Address ）：  Room S068, 2/F, Capital Square, 61-65 Chatham Road South, Tsim Sha Tsui, Hong Kong</t>
        </is>
      </c>
      <c r="P2" s="2" t="inlineStr">
        <is>
          <t>Order track number: Remarks, if any</t>
        </is>
      </c>
    </row>
    <row r="3" ht="4" customHeight="1"/>
    <row r="4" ht="18.5" customHeight="1">
      <c r="A4" s="2" t="inlineStr">
        <is>
          <t>买方（Buyer）：</t>
        </is>
      </c>
      <c r="P4" s="1" t="inlineStr">
        <is>
          <t>Date:27 AUG 2026</t>
        </is>
      </c>
    </row>
    <row r="5" ht="6" customHeight="1"/>
    <row r="6" ht="18.5" customHeight="1">
      <c r="A6" s="1" t="inlineStr">
        <is>
          <t>卖方与买方同意根据以下条款成交：</t>
        </is>
      </c>
    </row>
    <row r="7" ht="18.5" customHeight="1">
      <c r="A7" s="1" t="inlineStr">
        <is>
          <t>The buyer agrees to buy and the seller agrees to sell the following goods on the terms and conditions as stipulated below ：</t>
        </is>
      </c>
    </row>
    <row r="8" ht="37" customHeight="1">
      <c r="A8" s="3" t="inlineStr">
        <is>
          <t>NO.
序号</t>
        </is>
      </c>
      <c r="B8" s="4" t="inlineStr">
        <is>
          <t>GRADE
钢种</t>
        </is>
      </c>
      <c r="C8" s="4" t="inlineStr">
        <is>
          <t>SURFACE
表面</t>
        </is>
      </c>
      <c r="D8" s="4" t="inlineStr">
        <is>
          <t>PAPER/FILM
衬纸/贴膜</t>
        </is>
      </c>
      <c r="E8" s="4" t="inlineStr">
        <is>
          <t>THK
厚度/MM</t>
        </is>
      </c>
      <c r="F8" s="4" t="inlineStr">
        <is>
          <t>THK TOL
厚度公差/MM</t>
        </is>
      </c>
      <c r="G8" s="4" t="inlineStr">
        <is>
          <t>WIDTH
宽度/MM</t>
        </is>
      </c>
      <c r="H8" s="4" t="inlineStr">
        <is>
          <t>LENGH
长度/MM</t>
        </is>
      </c>
      <c r="I8" s="4" t="inlineStr">
        <is>
          <t>Edge
边</t>
        </is>
      </c>
      <c r="J8" s="4" t="inlineStr">
        <is>
          <t>PCS
件数</t>
        </is>
      </c>
      <c r="K8" s="4" t="inlineStr">
        <is>
          <t>MT
重量</t>
        </is>
      </c>
      <c r="L8" s="4" t="inlineStr">
        <is>
          <t>UNIT FOB 
单价 (USD/T)</t>
        </is>
      </c>
      <c r="M8" s="4" t="inlineStr">
        <is>
          <t>TOTAL
合计(USD)</t>
        </is>
      </c>
      <c r="N8" s="4" t="inlineStr">
        <is>
          <t>PRINT
喷码</t>
        </is>
      </c>
      <c r="O8" s="4" t="inlineStr">
        <is>
          <t>PACKING
打包要求</t>
        </is>
      </c>
      <c r="P8" s="4" t="inlineStr">
        <is>
          <t>WEIGHT/PACK
单包重/MT</t>
        </is>
      </c>
    </row>
    <row r="9" ht="35" customHeight="1">
      <c r="A9" s="5" t="n">
        <v>1</v>
      </c>
      <c r="B9" s="4" t="n">
        <v>304</v>
      </c>
      <c r="C9" s="4" t="inlineStr">
        <is>
          <t>要求高 - NO.4砂水镀黑钛</t>
        </is>
      </c>
      <c r="D9" s="4" t="inlineStr">
        <is>
          <t>底膜10C诺凡赛尔+面膜7C黑白膜</t>
        </is>
      </c>
      <c r="E9" s="6" t="n">
        <v>1.2</v>
      </c>
      <c r="F9" s="4" t="inlineStr">
        <is>
          <t>1.14-1.15</t>
        </is>
      </c>
      <c r="G9" s="4" t="n">
        <v>1219</v>
      </c>
      <c r="H9" s="4" t="n">
        <v>3000</v>
      </c>
      <c r="I9" s="4" t="inlineStr">
        <is>
          <t>切边</t>
        </is>
      </c>
      <c r="J9" s="4" t="n">
        <v>100</v>
      </c>
      <c r="K9" s="6" t="n">
        <v>3.4800012</v>
      </c>
      <c r="L9" s="4" t="n"/>
      <c r="M9" s="7">
        <f>K9*L9</f>
        <v/>
      </c>
      <c r="N9" s="4" t="inlineStr">
        <is>
          <t>见附件</t>
        </is>
      </c>
      <c r="O9" s="4" t="n"/>
      <c r="P9" s="4" t="inlineStr">
        <is>
          <t>1.8-2.0</t>
        </is>
      </c>
    </row>
    <row r="10" ht="35" customHeight="1">
      <c r="A10" s="5" t="n">
        <v>2</v>
      </c>
      <c r="B10" s="4" t="n">
        <v>304</v>
      </c>
      <c r="C10" s="4" t="inlineStr">
        <is>
          <t>要求高 - NO.4砂水镀黑钛</t>
        </is>
      </c>
      <c r="D10" s="4" t="inlineStr">
        <is>
          <t>底膜10C诺凡赛尔+面膜7C黑白膜</t>
        </is>
      </c>
      <c r="E10" s="6" t="n">
        <v>1.2</v>
      </c>
      <c r="F10" s="4" t="inlineStr">
        <is>
          <t>1.14-1.15</t>
        </is>
      </c>
      <c r="G10" s="4" t="n">
        <v>1219</v>
      </c>
      <c r="H10" s="4" t="n">
        <v>2500</v>
      </c>
      <c r="I10" s="4" t="inlineStr">
        <is>
          <t>切边</t>
        </is>
      </c>
      <c r="J10" s="4" t="n">
        <v>100</v>
      </c>
      <c r="K10" s="6" t="n">
        <v>2.900001</v>
      </c>
      <c r="L10" s="4" t="n"/>
      <c r="M10" s="7">
        <f>K10*L10</f>
        <v/>
      </c>
      <c r="N10" s="4" t="inlineStr">
        <is>
          <t>见附件</t>
        </is>
      </c>
      <c r="O10" s="4" t="n"/>
      <c r="P10" s="4" t="inlineStr">
        <is>
          <t>1.8-2.0</t>
        </is>
      </c>
    </row>
    <row r="11" ht="35" customHeight="1">
      <c r="A11" s="5" t="n">
        <v>3</v>
      </c>
      <c r="B11" s="4" t="n">
        <v>304</v>
      </c>
      <c r="C11" s="4" t="inlineStr">
        <is>
          <t>要求高 - 喷砂水镀黑钛</t>
        </is>
      </c>
      <c r="D11" s="4" t="inlineStr">
        <is>
          <t>底膜10C诺凡赛尔+面膜7C黑白膜</t>
        </is>
      </c>
      <c r="E11" s="6" t="n">
        <v>1.2</v>
      </c>
      <c r="F11" s="4" t="inlineStr">
        <is>
          <t>1.14-1.15</t>
        </is>
      </c>
      <c r="G11" s="4" t="n">
        <v>1219</v>
      </c>
      <c r="H11" s="4" t="n">
        <v>3000</v>
      </c>
      <c r="I11" s="4" t="inlineStr">
        <is>
          <t>切边</t>
        </is>
      </c>
      <c r="J11" s="4" t="n">
        <v>100</v>
      </c>
      <c r="K11" s="6" t="n">
        <v>3.4800012</v>
      </c>
      <c r="L11" s="4" t="n"/>
      <c r="M11" s="7">
        <f>K11*L11</f>
        <v/>
      </c>
      <c r="N11" s="4" t="inlineStr">
        <is>
          <t>见附件</t>
        </is>
      </c>
      <c r="O11" s="4" t="n"/>
      <c r="P11" s="4" t="inlineStr">
        <is>
          <t>1.8-2.0</t>
        </is>
      </c>
    </row>
    <row r="12" ht="35" customHeight="1">
      <c r="A12" s="5" t="n">
        <v>4</v>
      </c>
      <c r="B12" s="4" t="n">
        <v>304</v>
      </c>
      <c r="C12" s="4" t="inlineStr">
        <is>
          <t>要求高 - 镜面水镀黑钛</t>
        </is>
      </c>
      <c r="D12" s="4" t="inlineStr">
        <is>
          <t>底膜10C诺凡赛尔+面膜7C黑白膜</t>
        </is>
      </c>
      <c r="E12" s="6" t="n">
        <v>1.2</v>
      </c>
      <c r="F12" s="4" t="inlineStr">
        <is>
          <t>1.14-1.15</t>
        </is>
      </c>
      <c r="G12" s="4" t="n">
        <v>1219</v>
      </c>
      <c r="H12" s="4" t="n">
        <v>3000</v>
      </c>
      <c r="I12" s="4" t="inlineStr">
        <is>
          <t>切边</t>
        </is>
      </c>
      <c r="J12" s="4" t="n">
        <v>50</v>
      </c>
      <c r="K12" s="6" t="n">
        <v>1.7400006</v>
      </c>
      <c r="L12" s="4" t="n"/>
      <c r="M12" s="7">
        <f>K12*L12</f>
        <v/>
      </c>
      <c r="N12" s="4" t="inlineStr">
        <is>
          <t>见附件</t>
        </is>
      </c>
      <c r="O12" s="4" t="n"/>
      <c r="P12" s="4" t="inlineStr">
        <is>
          <t>1.8-2.0</t>
        </is>
      </c>
    </row>
    <row r="13" ht="35" customHeight="1">
      <c r="A13" s="5" t="n">
        <v>5</v>
      </c>
      <c r="B13" s="4" t="n">
        <v>304</v>
      </c>
      <c r="C13" s="4" t="inlineStr">
        <is>
          <t>要求高 - 镜面水镀黑钛</t>
        </is>
      </c>
      <c r="D13" s="4" t="inlineStr">
        <is>
          <t>底膜10C诺凡赛尔+面膜7C黑白膜</t>
        </is>
      </c>
      <c r="E13" s="6" t="n">
        <v>1.2</v>
      </c>
      <c r="F13" s="4" t="inlineStr">
        <is>
          <t>1.14-1.15</t>
        </is>
      </c>
      <c r="G13" s="4" t="n">
        <v>1219</v>
      </c>
      <c r="H13" s="4" t="n">
        <v>2500</v>
      </c>
      <c r="I13" s="4" t="inlineStr">
        <is>
          <t>切边</t>
        </is>
      </c>
      <c r="J13" s="4" t="n">
        <v>80</v>
      </c>
      <c r="K13" s="6" t="n">
        <v>2.3200008</v>
      </c>
      <c r="L13" s="4" t="n"/>
      <c r="M13" s="7">
        <f>K13*L13</f>
        <v/>
      </c>
      <c r="N13" s="4" t="inlineStr">
        <is>
          <t>见附件</t>
        </is>
      </c>
      <c r="O13" s="4" t="n"/>
      <c r="P13" s="4" t="inlineStr">
        <is>
          <t>1.8-2.0</t>
        </is>
      </c>
    </row>
    <row r="14" ht="35" customHeight="1">
      <c r="A14" s="5" t="n">
        <v>6</v>
      </c>
      <c r="B14" s="4" t="n">
        <v>304</v>
      </c>
      <c r="C14" s="4" t="inlineStr">
        <is>
          <t>镜面黄钛金</t>
        </is>
      </c>
      <c r="D14" s="4" t="inlineStr">
        <is>
          <t>底膜10C诺凡赛尔+面膜7C黑白膜</t>
        </is>
      </c>
      <c r="E14" s="6" t="n">
        <v>0.8</v>
      </c>
      <c r="F14" s="4" t="inlineStr">
        <is>
          <t>0.76-0.77</t>
        </is>
      </c>
      <c r="G14" s="4" t="n">
        <v>1219</v>
      </c>
      <c r="H14" s="4" t="n">
        <v>2500</v>
      </c>
      <c r="I14" s="4" t="inlineStr">
        <is>
          <t>切边</t>
        </is>
      </c>
      <c r="J14" s="4" t="n">
        <v>150</v>
      </c>
      <c r="K14" s="6" t="n">
        <v>2.900001</v>
      </c>
      <c r="L14" s="4" t="n"/>
      <c r="M14" s="7">
        <f>K14*L14</f>
        <v/>
      </c>
      <c r="N14" s="4" t="inlineStr">
        <is>
          <t>见附件</t>
        </is>
      </c>
      <c r="O14" s="4" t="n"/>
      <c r="P14" s="4" t="inlineStr">
        <is>
          <t>1.8-2.0</t>
        </is>
      </c>
    </row>
    <row r="15" ht="35" customHeight="1">
      <c r="A15" s="5" t="n">
        <v>7</v>
      </c>
      <c r="B15" s="4" t="n">
        <v>304</v>
      </c>
      <c r="C15" s="4" t="inlineStr">
        <is>
          <t>镜面黄钛金</t>
        </is>
      </c>
      <c r="D15" s="4" t="inlineStr">
        <is>
          <t>底膜10C诺凡赛尔+面膜7C黑白膜</t>
        </is>
      </c>
      <c r="E15" s="6" t="n">
        <v>1.2</v>
      </c>
      <c r="F15" s="4" t="inlineStr">
        <is>
          <t>1.14-1.15</t>
        </is>
      </c>
      <c r="G15" s="4" t="n">
        <v>1219</v>
      </c>
      <c r="H15" s="4" t="n">
        <v>2500</v>
      </c>
      <c r="I15" s="4" t="inlineStr">
        <is>
          <t>切边</t>
        </is>
      </c>
      <c r="J15" s="4" t="n">
        <v>80</v>
      </c>
      <c r="K15" s="6" t="n">
        <v>2.3200008</v>
      </c>
      <c r="L15" s="4" t="n"/>
      <c r="M15" s="7">
        <f>K15*L15</f>
        <v/>
      </c>
      <c r="N15" s="4" t="inlineStr">
        <is>
          <t>见附件</t>
        </is>
      </c>
      <c r="O15" s="4" t="n"/>
      <c r="P15" s="4" t="inlineStr">
        <is>
          <t>1.8-2.0</t>
        </is>
      </c>
    </row>
    <row r="16" ht="35" customHeight="1">
      <c r="A16" s="5" t="n">
        <v>8</v>
      </c>
      <c r="B16" s="4" t="n">
        <v>304</v>
      </c>
      <c r="C16" s="4" t="inlineStr">
        <is>
          <t>要求高 - 6WL</t>
        </is>
      </c>
      <c r="D16" s="4" t="inlineStr">
        <is>
          <t>底膜10C诺凡赛尔+面膜7C黑白膜</t>
        </is>
      </c>
      <c r="E16" s="6" t="n">
        <v>2</v>
      </c>
      <c r="F16" s="4" t="inlineStr">
        <is>
          <t>1.90-1.95</t>
        </is>
      </c>
      <c r="G16" s="4" t="n">
        <v>1219</v>
      </c>
      <c r="H16" s="4" t="n">
        <v>2438</v>
      </c>
      <c r="I16" s="4" t="inlineStr">
        <is>
          <t>切边</t>
        </is>
      </c>
      <c r="J16" s="4" t="n">
        <v>15</v>
      </c>
      <c r="K16" s="6" t="n">
        <v>0.7070202438000001</v>
      </c>
      <c r="L16" s="4" t="n"/>
      <c r="M16" s="7">
        <f>K16*L16</f>
        <v/>
      </c>
      <c r="N16" s="4" t="inlineStr">
        <is>
          <t>见附件</t>
        </is>
      </c>
      <c r="O16" s="4" t="n"/>
      <c r="P16" s="4" t="inlineStr">
        <is>
          <t>1.8-2.0</t>
        </is>
      </c>
    </row>
    <row r="17" ht="35" customHeight="1">
      <c r="A17" s="5" t="n">
        <v>9</v>
      </c>
      <c r="B17" s="4" t="n">
        <v>304</v>
      </c>
      <c r="C17" s="4" t="inlineStr">
        <is>
          <t>要求高 - 喷砂红铜（对样）</t>
        </is>
      </c>
      <c r="D17" s="4" t="inlineStr">
        <is>
          <t>底膜10C诺凡赛尔+面膜7C黑白膜</t>
        </is>
      </c>
      <c r="E17" s="6" t="n">
        <v>1.2</v>
      </c>
      <c r="F17" s="4" t="inlineStr">
        <is>
          <t>1.14-1.15</t>
        </is>
      </c>
      <c r="G17" s="4" t="n">
        <v>1219</v>
      </c>
      <c r="H17" s="4" t="n">
        <v>2500</v>
      </c>
      <c r="I17" s="4" t="inlineStr">
        <is>
          <t>切边</t>
        </is>
      </c>
      <c r="J17" s="4" t="n">
        <v>50</v>
      </c>
      <c r="K17" s="6" t="n">
        <v>1.4500005</v>
      </c>
      <c r="L17" s="4" t="n"/>
      <c r="M17" s="7">
        <f>K17*L17</f>
        <v/>
      </c>
      <c r="N17" s="4" t="inlineStr">
        <is>
          <t>见附件</t>
        </is>
      </c>
      <c r="O17" s="4" t="n"/>
      <c r="P17" s="4" t="inlineStr">
        <is>
          <t>1.8-2.0</t>
        </is>
      </c>
    </row>
    <row r="18" ht="21" customHeight="1">
      <c r="A18" s="8" t="inlineStr">
        <is>
          <t>Per container weight/单柜重: 25.0-27.5MT/20GP</t>
        </is>
      </c>
      <c r="B18" s="9" t="n"/>
      <c r="C18" s="9" t="n"/>
      <c r="D18" s="9" t="n"/>
      <c r="E18" s="9" t="n"/>
      <c r="F18" s="9" t="n"/>
      <c r="G18" s="9" t="n"/>
      <c r="H18" s="9" t="n"/>
      <c r="I18" s="9" t="n"/>
      <c r="J18" s="9">
        <f>SUM(J9:J17)</f>
        <v/>
      </c>
      <c r="K18" s="10">
        <f>SUM(K9:K17)</f>
        <v/>
      </c>
      <c r="L18" s="9" t="n"/>
      <c r="M18" s="11">
        <f>SUM(M9:M17)</f>
        <v/>
      </c>
      <c r="N18" s="9" t="n"/>
      <c r="O18" s="9" t="n"/>
      <c r="P18" s="9" t="n"/>
    </row>
    <row r="19" ht="21" customHeight="1">
      <c r="A19" s="12" t="inlineStr">
        <is>
          <t>Total 1 CONTAINERS / 共1柜</t>
        </is>
      </c>
      <c r="J19" t="inlineStr">
        <is>
          <t>Advanced payment 定金：</t>
        </is>
      </c>
    </row>
    <row r="20" ht="22" customHeight="1">
      <c r="A20" s="12" t="inlineStr">
        <is>
          <t>备注/NOTES</t>
        </is>
      </c>
      <c r="C20" t="inlineStr">
        <is>
          <t>重量公差：常规+/-5%
唛头：无。
分批装运：不允许。</t>
        </is>
      </c>
      <c r="E20" t="inlineStr">
        <is>
          <t xml:space="preserve">Weight Tolerance : Regular +/-5%. 
Shipping Mark : None. 
Partial Shipment : Not allowed. </t>
        </is>
      </c>
      <c r="J20" t="inlineStr">
        <is>
          <t>FOB NANSHA
FOB南沙</t>
        </is>
      </c>
    </row>
    <row r="21" ht="25" customHeight="1"/>
    <row r="22" ht="22" customHeight="1"/>
    <row r="23" ht="23" customHeight="1">
      <c r="A23" s="13" t="inlineStr">
        <is>
          <t>补充要求 S.R.：</t>
        </is>
      </c>
    </row>
    <row r="24" ht="18.5" customHeight="1">
      <c r="A24" s="1" t="inlineStr">
        <is>
          <t>1. 价格与增值税/ PRICE and VAT：</t>
        </is>
      </c>
    </row>
    <row r="25" ht="18.5" customHeight="1">
      <c r="A25" s="1" t="inlineStr">
        <is>
          <t>本合同约定价格为不含任何增值税。买方应承担适用的增值税额。买方支付合同价款及相应增值税款是卖方开具增值税发票及交付货物的先决条件。
The price stipulated in this Contract is exclusive of any Value Added Tax (VAT). The Buyer shall bear the applicable VAT amount. Payment of the contract price together with the corresponding VAT amount by the Buyer shall be a condition precedent for the Seller to issue the VAT invoice and deliver the goods.</t>
        </is>
      </c>
    </row>
    <row r="26" ht="18.5" customHeight="1"/>
    <row r="27" ht="18.5" customHeight="1"/>
    <row r="28" ht="18.5" customHeight="1">
      <c r="A28" s="1" t="inlineStr">
        <is>
          <t>2. 付款方式/PAYMENT TERM：</t>
        </is>
      </c>
    </row>
    <row r="29" ht="18.5" customHeight="1">
      <c r="A29" s="1" t="inlineStr">
        <is>
          <t>1) 预付款：合同签订后三个工作日内买方电汇预付款给卖方。如果买方不及时支付预付款，卖方可根据市场情况调整出口价格。
The advanced payment: The Buyer should pay advance payment by T/T within three days after the contract is confirmed. If the Buyer cannot pay the advanced payment in time, the Seller has the right to modify the sales price as per the new market situation.</t>
        </is>
      </c>
    </row>
    <row r="30" ht="18.5" customHeight="1"/>
    <row r="31" ht="18.5" customHeight="1">
      <c r="A31" s="1" t="inlineStr">
        <is>
          <t>2) 尾款：货物准备好后，卖方应提供电子版商业发票和装箱单来收取余款。装柜前，买方根据卖方提供的发票电汇合同余款。
The balance payment: The Seller shall provide a soft copy of the commercial invoice and packing list to collect the balance after the goods are ready. The Buyers should pay the balance payment by T/T against the invoice issued by the Seller before shipment.</t>
        </is>
      </c>
    </row>
    <row r="32" ht="18.5" customHeight="1"/>
    <row r="33" ht="18.5" customHeight="1">
      <c r="A33" s="1" t="inlineStr">
        <is>
          <t>3. 交货时间/DELIVERY TIME:</t>
        </is>
      </c>
    </row>
    <row r="34" ht="18.5" customHeight="1">
      <c r="A34" s="1" t="inlineStr">
        <is>
          <t>卖方收到 TT 电汇定金后,  15-21天，TT 电汇全部尾款到账后立即发货。
Upon 15-21days, after the seller receives the TT deposit, full TT balance reaching seller A/C to load.</t>
        </is>
      </c>
    </row>
    <row r="35" ht="18.5" customHeight="1"/>
    <row r="36" ht="21" customHeight="1">
      <c r="A36" s="12" t="inlineStr">
        <is>
          <t>银行信息（ Bank information ）：</t>
        </is>
      </c>
    </row>
    <row r="37" ht="21" customHeight="1">
      <c r="A37" s="12" t="inlineStr">
        <is>
          <t>Account number :</t>
        </is>
      </c>
      <c r="C37" t="n">
        <v>63003648464</v>
      </c>
    </row>
    <row r="38" ht="21" customHeight="1">
      <c r="A38" s="12" t="inlineStr">
        <is>
          <t>Account name :</t>
        </is>
      </c>
      <c r="C38" t="inlineStr">
        <is>
          <t>HONG KONG ZIYE METAL MATERIALS CO ., LIMITED (* If the account name exceeds the available space, please continue in the address field.)</t>
        </is>
      </c>
    </row>
    <row r="39" ht="21" customHeight="1">
      <c r="A39" s="12" t="inlineStr">
        <is>
          <t>Bank name :</t>
        </is>
      </c>
      <c r="C39" t="inlineStr">
        <is>
          <t xml:space="preserve">JPMorgan Chase Bank N.A., Hong Kong Branch </t>
        </is>
      </c>
    </row>
    <row r="40" ht="21" customHeight="1">
      <c r="A40" s="12" t="inlineStr">
        <is>
          <t>SWIFT/BIC code :</t>
        </is>
      </c>
      <c r="C40" t="inlineStr">
        <is>
          <t>CHASHKHH  （CHASHKHHXXX*If 11 characters are required）</t>
        </is>
      </c>
    </row>
    <row r="41" ht="21" customHeight="1">
      <c r="A41" s="12" t="inlineStr">
        <is>
          <t>Sort code :</t>
        </is>
      </c>
      <c r="C41" t="inlineStr">
        <is>
          <t xml:space="preserve">007 </t>
        </is>
      </c>
    </row>
    <row r="42" ht="21" customHeight="1">
      <c r="A42" s="12" t="inlineStr">
        <is>
          <t>Branch code :</t>
        </is>
      </c>
      <c r="C42" t="inlineStr">
        <is>
          <t xml:space="preserve">863 </t>
        </is>
      </c>
    </row>
    <row r="43" ht="21" customHeight="1">
      <c r="A43" s="12" t="inlineStr">
        <is>
          <t>Bank address :</t>
        </is>
      </c>
      <c r="C43" t="inlineStr">
        <is>
          <t xml:space="preserve">18/F, 20/F, 22-29/F, CHATER HOUSE, 8 CONNAUGHT ROAD CENTRAL, HONG KONG </t>
        </is>
      </c>
    </row>
    <row r="44" ht="21" customHeight="1">
      <c r="A44" s="12" t="inlineStr">
        <is>
          <t>Country/region :</t>
        </is>
      </c>
      <c r="C44" t="inlineStr">
        <is>
          <t xml:space="preserve">Hong Kong (China) </t>
        </is>
      </c>
    </row>
    <row r="45" ht="21" customHeight="1">
      <c r="A45" s="12" t="inlineStr">
        <is>
          <t>Account type :</t>
        </is>
      </c>
      <c r="C45" t="inlineStr">
        <is>
          <t xml:space="preserve">Business Account </t>
        </is>
      </c>
    </row>
    <row r="46" ht="21" customHeight="1">
      <c r="A46" s="12" t="inlineStr">
        <is>
          <t>Payment method :</t>
        </is>
      </c>
      <c r="C46" t="inlineStr">
        <is>
          <t xml:space="preserve">For the payment of goods, please make a SWIFT/CHATS/FPS Payment </t>
        </is>
      </c>
    </row>
    <row r="47" ht="21" customHeight="1">
      <c r="A47" s="12" t="inlineStr">
        <is>
          <t>Notes :</t>
        </is>
      </c>
      <c r="C47" t="inlineStr">
        <is>
          <t xml:space="preserve">Please include [Buyer's Name, Invoice/Contract Number, and Product Name] in the memo or note section when making the payment. </t>
        </is>
      </c>
    </row>
    <row r="48" ht="4" customHeight="1"/>
    <row r="49" ht="18.5" customHeight="1">
      <c r="A49" s="1" t="inlineStr">
        <is>
          <t>卖方（签/盖）
Seller (Signature &amp; Stamp)</t>
        </is>
      </c>
      <c r="G49" t="inlineStr">
        <is>
          <t>买方（签/盖）
Buyer (Signature &amp; Stamp)</t>
        </is>
      </c>
    </row>
    <row r="50" ht="18.5" customHeight="1"/>
  </sheetData>
  <mergeCells count="46">
    <mergeCell ref="A31:P32"/>
    <mergeCell ref="A23:P23"/>
    <mergeCell ref="A45:B45"/>
    <mergeCell ref="C42:P42"/>
    <mergeCell ref="A18:I18"/>
    <mergeCell ref="A4:J4"/>
    <mergeCell ref="C45:P45"/>
    <mergeCell ref="A28:P28"/>
    <mergeCell ref="A49:F50"/>
    <mergeCell ref="C20:D22"/>
    <mergeCell ref="A41:B41"/>
    <mergeCell ref="E20:I22"/>
    <mergeCell ref="C47:P47"/>
    <mergeCell ref="A37:B37"/>
    <mergeCell ref="A46:B46"/>
    <mergeCell ref="C41:P41"/>
    <mergeCell ref="A40:B40"/>
    <mergeCell ref="C44:P44"/>
    <mergeCell ref="A24:P24"/>
    <mergeCell ref="C40:P40"/>
    <mergeCell ref="G49:P50"/>
    <mergeCell ref="J19:P19"/>
    <mergeCell ref="A1:J1"/>
    <mergeCell ref="A19:I19"/>
    <mergeCell ref="A36:P36"/>
    <mergeCell ref="C43:P43"/>
    <mergeCell ref="C46:P46"/>
    <mergeCell ref="A42:B42"/>
    <mergeCell ref="A6:P6"/>
    <mergeCell ref="A47:B47"/>
    <mergeCell ref="A7:P7"/>
    <mergeCell ref="A29:P30"/>
    <mergeCell ref="A38:B38"/>
    <mergeCell ref="C39:P39"/>
    <mergeCell ref="A20:B22"/>
    <mergeCell ref="A43:B43"/>
    <mergeCell ref="B3:P3"/>
    <mergeCell ref="C38:P38"/>
    <mergeCell ref="A25:P27"/>
    <mergeCell ref="A44:B44"/>
    <mergeCell ref="A34:P35"/>
    <mergeCell ref="A2:J2"/>
    <mergeCell ref="C37:P37"/>
    <mergeCell ref="J20:P22"/>
    <mergeCell ref="A39:B39"/>
    <mergeCell ref="A33:P3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2026-08-28T09:07:07Z</dcterms:created>
  <dcterms:modified xmlns:dcterms="http://purl.org/dc/terms/" xmlns:xsi="http://www.w3.org/2001/XMLSchema-instance" xsi:type="dcterms:W3CDTF">2026-08-28T09:07:07Z</dcterms:modified>
</cp:coreProperties>
</file>